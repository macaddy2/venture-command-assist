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ask Tracker" sheetId="1" state="visible" r:id="rId3"/>
    <sheet name="Dashboard" sheetId="2" state="visible" r:id="rId4"/>
    <sheet name="Budget Tracker" sheetId="3" state="visible" r:id="rId5"/>
    <sheet name="Content Calendar" sheetId="4" state="visible" r:id="rId6"/>
  </sheets>
  <definedNames>
    <definedName function="false" hidden="true" localSheetId="0" name="_xlnm._FilterDatabase" vbProcedure="false">'Master Task Tracker'!$A$2:$I$45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<sst xmlns="http://schemas.openxmlformats.org/spreadsheetml/2006/main" count="524" uniqueCount="250">
  <si>
    <t xml:space="preserve">LONDON CONTENT CHANNELS — Master Launch Tracker</t>
  </si>
  <si>
    <t xml:space="preserve">Phase</t>
  </si>
  <si>
    <t xml:space="preserve">Task ID</t>
  </si>
  <si>
    <t xml:space="preserve">Task Description</t>
  </si>
  <si>
    <t xml:space="preserve">Owner</t>
  </si>
  <si>
    <t xml:space="preserve">Deadline</t>
  </si>
  <si>
    <t xml:space="preserve">Status</t>
  </si>
  <si>
    <t xml:space="preserve">Priority</t>
  </si>
  <si>
    <t xml:space="preserve">% Complete</t>
  </si>
  <si>
    <t xml:space="preserve">Notes / Automation</t>
  </si>
  <si>
    <t xml:space="preserve">Phase 1</t>
  </si>
  <si>
    <t xml:space="preserve">1.1.1</t>
  </si>
  <si>
    <t xml:space="preserve">Register all social accounts for LondonIn&amp;Out (TikTok, IG, YT, FB, X)</t>
  </si>
  <si>
    <t xml:space="preserve">Founder</t>
  </si>
  <si>
    <t xml:space="preserve">Week 1</t>
  </si>
  <si>
    <t xml:space="preserve">Not Started</t>
  </si>
  <si>
    <t xml:space="preserve">HIGH</t>
  </si>
  <si>
    <t xml:space="preserve">Use Namechk for handle availability check</t>
  </si>
  <si>
    <t xml:space="preserve">1.1.2</t>
  </si>
  <si>
    <t xml:space="preserve">Commission London Fox AI character design</t>
  </si>
  <si>
    <t xml:space="preserve">Midjourney batch generation or Fiverr brief template</t>
  </si>
  <si>
    <t xml:space="preserve">1.1.3</t>
  </si>
  <si>
    <t xml:space="preserve">Purchase equipment (gimbal £79, mic £99)</t>
  </si>
  <si>
    <t xml:space="preserve">Amazon auto-buy list</t>
  </si>
  <si>
    <t xml:space="preserve">1.1.4</t>
  </si>
  <si>
    <t xml:space="preserve">Set up CapCut templates for IN/OUT split-screen format</t>
  </si>
  <si>
    <t xml:space="preserve">Editor</t>
  </si>
  <si>
    <t xml:space="preserve">Create 3-5 reusable templates</t>
  </si>
  <si>
    <t xml:space="preserve">1.1.5</t>
  </si>
  <si>
    <t xml:space="preserve">Set up ElevenLabs AI voice for London Fox</t>
  </si>
  <si>
    <t xml:space="preserve">MEDIUM</t>
  </si>
  <si>
    <t xml:space="preserve">API integration for batch voiceover</t>
  </si>
  <si>
    <t xml:space="preserve">1.1.6</t>
  </si>
  <si>
    <t xml:space="preserve">Create content calendar (Notion/Airtable)</t>
  </si>
  <si>
    <t xml:space="preserve">Template with cross-platform scheduling</t>
  </si>
  <si>
    <t xml:space="preserve">1.1.7</t>
  </si>
  <si>
    <t xml:space="preserve">Subscribe to X Premium for In&amp;Out (£8/mo)</t>
  </si>
  <si>
    <t xml:space="preserve">LOW</t>
  </si>
  <si>
    <t xml:space="preserve">Recurring payment setup</t>
  </si>
  <si>
    <t xml:space="preserve">1.1.8</t>
  </si>
  <si>
    <t xml:space="preserve">Set up cross-posting tools (Later/Buffer/Repurpose.io)</t>
  </si>
  <si>
    <t xml:space="preserve">1 upload → auto-push to all platforms</t>
  </si>
  <si>
    <t xml:space="preserve">1.2.1</t>
  </si>
  <si>
    <t xml:space="preserve">Film first IN/OUT content batch (10-15 videos)</t>
  </si>
  <si>
    <t xml:space="preserve">Week 2</t>
  </si>
  <si>
    <t xml:space="preserve">Shot list from trending London topics</t>
  </si>
  <si>
    <t xml:space="preserve">1.2.2</t>
  </si>
  <si>
    <t xml:space="preserve">Edit and publish first 5 TikToks + IG Reels</t>
  </si>
  <si>
    <t xml:space="preserve">CapCut batch export per platform</t>
  </si>
  <si>
    <t xml:space="preserve">1.2.3</t>
  </si>
  <si>
    <t xml:space="preserve">Begin daily X hot takes and IN/OUT polls</t>
  </si>
  <si>
    <t xml:space="preserve">Scheduled tweet queue via Buffer</t>
  </si>
  <si>
    <t xml:space="preserve">1.2.4</t>
  </si>
  <si>
    <t xml:space="preserve">Repurpose content to Facebook (native, no watermark)</t>
  </si>
  <si>
    <t xml:space="preserve">Auto-strip watermarks; batch upload</t>
  </si>
  <si>
    <t xml:space="preserve">1.2.5</t>
  </si>
  <si>
    <t xml:space="preserve">Cross-post Shorts to YouTube</t>
  </si>
  <si>
    <t xml:space="preserve">YouTube Studio bulk upload</t>
  </si>
  <si>
    <t xml:space="preserve">1.2.6</t>
  </si>
  <si>
    <t xml:space="preserve">Establish posting cadence: 5-7 TikTok/wk, 4-5 IG, daily X</t>
  </si>
  <si>
    <t xml:space="preserve">Week 3</t>
  </si>
  <si>
    <t xml:space="preserve">Auto-reminders via Notion/Slack</t>
  </si>
  <si>
    <t xml:space="preserve">1.2.7</t>
  </si>
  <si>
    <t xml:space="preserve">Set up weekly analytics monitoring</t>
  </si>
  <si>
    <t xml:space="preserve">Google Sheets dashboard or Metricool</t>
  </si>
  <si>
    <t xml:space="preserve">1.2.8</t>
  </si>
  <si>
    <t xml:space="preserve">Hit 10K-20K combined followers</t>
  </si>
  <si>
    <t xml:space="preserve">Team</t>
  </si>
  <si>
    <t xml:space="preserve">Week 8</t>
  </si>
  <si>
    <t xml:space="preserve">Milestone tracker with alerts</t>
  </si>
  <si>
    <t xml:space="preserve">Phase 2</t>
  </si>
  <si>
    <t xml:space="preserve">2.1.1</t>
  </si>
  <si>
    <t xml:space="preserve">Register LondonGoat accounts (TikTok, IG, YT, FB)</t>
  </si>
  <si>
    <t xml:space="preserve">Week 6</t>
  </si>
  <si>
    <t xml:space="preserve">Batch registration</t>
  </si>
  <si>
    <t xml:space="preserve">2.1.2</t>
  </si>
  <si>
    <t xml:space="preserve">Design Cartoon Goat + Dark Goat mascots</t>
  </si>
  <si>
    <t xml:space="preserve">Same Midjourney workflow as Fox</t>
  </si>
  <si>
    <t xml:space="preserve">2.1.3</t>
  </si>
  <si>
    <t xml:space="preserve">Set up LondonBlackGoat standalone X account + Premium</t>
  </si>
  <si>
    <t xml:space="preserve">X Premium £8/mo</t>
  </si>
  <si>
    <t xml:space="preserve">2.1.4</t>
  </si>
  <si>
    <t xml:space="preserve">Create Goat + BlackGoat overlay templates (CapCut/AE)</t>
  </si>
  <si>
    <t xml:space="preserve">Week 7</t>
  </si>
  <si>
    <t xml:space="preserve">Reusable AE compositions</t>
  </si>
  <si>
    <t xml:space="preserve">2.1.5</t>
  </si>
  <si>
    <t xml:space="preserve">Begin dual-channel filming (In&amp;Out + Goat)</t>
  </si>
  <si>
    <t xml:space="preserve">Single filming day → dual content</t>
  </si>
  <si>
    <t xml:space="preserve">2.2.1</t>
  </si>
  <si>
    <t xml:space="preserve">Launch LondonGoat: 7-10 TikToks/wk + daily Stories</t>
  </si>
  <si>
    <t xml:space="preserve">Batch editing pipeline</t>
  </si>
  <si>
    <t xml:space="preserve">2.2.2</t>
  </si>
  <si>
    <t xml:space="preserve">Start BlackGoat series within LondonGoat (Week 10)</t>
  </si>
  <si>
    <t xml:space="preserve">Week 10</t>
  </si>
  <si>
    <t xml:space="preserve">Content tagging system</t>
  </si>
  <si>
    <t xml:space="preserve">2.2.3</t>
  </si>
  <si>
    <t xml:space="preserve">Launch BlackGoat X: 3-6 tweets/day + threads</t>
  </si>
  <si>
    <t xml:space="preserve">Morning news scraper → draft tweets</t>
  </si>
  <si>
    <t xml:space="preserve">2.2.4</t>
  </si>
  <si>
    <t xml:space="preserve">Begin 'BlackGoat Reads the Papers' TikTok series</t>
  </si>
  <si>
    <t xml:space="preserve">Template: headline + character reaction</t>
  </si>
  <si>
    <t xml:space="preserve">2.2.5</t>
  </si>
  <si>
    <t xml:space="preserve">Cross-platform repurpose: Goat → FB, YT Shorts</t>
  </si>
  <si>
    <t xml:space="preserve">Auto-export pipeline</t>
  </si>
  <si>
    <t xml:space="preserve">Phase 3</t>
  </si>
  <si>
    <t xml:space="preserve">3.1</t>
  </si>
  <si>
    <t xml:space="preserve">Register PeoplesofLondon (IG, YT, FB, TikTok)</t>
  </si>
  <si>
    <t xml:space="preserve">Month 4</t>
  </si>
  <si>
    <t xml:space="preserve">Batch account setup</t>
  </si>
  <si>
    <t xml:space="preserve">3.2</t>
  </si>
  <si>
    <t xml:space="preserve">Create FB Group 'Stories of London'</t>
  </si>
  <si>
    <t xml:space="preserve">Pre-built description + rules template</t>
  </si>
  <si>
    <t xml:space="preserve">3.3</t>
  </si>
  <si>
    <t xml:space="preserve">Film first 3-5 street interviews</t>
  </si>
  <si>
    <t xml:space="preserve">Interview question bank + consent form</t>
  </si>
  <si>
    <t xml:space="preserve">3.4</t>
  </si>
  <si>
    <t xml:space="preserve">Produce first YouTube mini-doc (3-5 min)</t>
  </si>
  <si>
    <t xml:space="preserve">Month 5</t>
  </si>
  <si>
    <t xml:space="preserve">Mini-doc template structure</t>
  </si>
  <si>
    <t xml:space="preserve">3.5</t>
  </si>
  <si>
    <t xml:space="preserve">Establish 1-2 stories/week cadence</t>
  </si>
  <si>
    <t xml:space="preserve">Calendar auto-scheduling</t>
  </si>
  <si>
    <t xml:space="preserve">3.6</t>
  </si>
  <si>
    <t xml:space="preserve">Activate cross-channel news ecosystem</t>
  </si>
  <si>
    <t xml:space="preserve">1 story → 4 channel briefs (template)</t>
  </si>
  <si>
    <t xml:space="preserve">3.7</t>
  </si>
  <si>
    <t xml:space="preserve">Ramp BlackGoat X to daily news commentary</t>
  </si>
  <si>
    <t xml:space="preserve">Morning headline dashboard</t>
  </si>
  <si>
    <t xml:space="preserve">3.8</t>
  </si>
  <si>
    <t xml:space="preserve">Start weekly 'Headlines IN/OUT' round-up Reel</t>
  </si>
  <si>
    <t xml:space="preserve">Templated round-up format</t>
  </si>
  <si>
    <t xml:space="preserve">Phase 4</t>
  </si>
  <si>
    <t xml:space="preserve">4.1</t>
  </si>
  <si>
    <t xml:space="preserve">Hire freelance video editor (£500-£1,500/mo)</t>
  </si>
  <si>
    <t xml:space="preserve">Month 7</t>
  </si>
  <si>
    <t xml:space="preserve">Trello/Notion task management</t>
  </si>
  <si>
    <t xml:space="preserve">4.2</t>
  </si>
  <si>
    <t xml:space="preserve">Scale to 30-40 pieces/week across all channels</t>
  </si>
  <si>
    <t xml:space="preserve">Shot list generator automation</t>
  </si>
  <si>
    <t xml:space="preserve">4.3</t>
  </si>
  <si>
    <t xml:space="preserve">Launch email newsletter (Beehiiv/Substack)</t>
  </si>
  <si>
    <t xml:space="preserve">Auto-populate from week's top content</t>
  </si>
  <si>
    <t xml:space="preserve">4.4</t>
  </si>
  <si>
    <t xml:space="preserve">Launch merchandise (stickers, prints)</t>
  </si>
  <si>
    <t xml:space="preserve">Month 9</t>
  </si>
  <si>
    <t xml:space="preserve">Print-on-demand via Printful/Gelato</t>
  </si>
  <si>
    <t xml:space="preserve">4.5</t>
  </si>
  <si>
    <t xml:space="preserve">Approach tourism boards/councils for partnerships</t>
  </si>
  <si>
    <t xml:space="preserve">Month 8</t>
  </si>
  <si>
    <t xml:space="preserve">Media kit template + outreach emails</t>
  </si>
  <si>
    <t xml:space="preserve">4.6</t>
  </si>
  <si>
    <t xml:space="preserve">Pitch BlackGoat for radio/podcast guest spots</t>
  </si>
  <si>
    <t xml:space="preserve">Podcast pitch template</t>
  </si>
  <si>
    <t xml:space="preserve">4.7</t>
  </si>
  <si>
    <t xml:space="preserve">Launch ticketed X Spaces 'Devil's Advocate Hour'</t>
  </si>
  <si>
    <t xml:space="preserve">Recurring calendar + auto-promote</t>
  </si>
  <si>
    <t xml:space="preserve">4.8</t>
  </si>
  <si>
    <t xml:space="preserve">Register as sole trader with HMRC</t>
  </si>
  <si>
    <t xml:space="preserve">When needed</t>
  </si>
  <si>
    <t xml:space="preserve">Calendar reminder at £1K earnings</t>
  </si>
  <si>
    <t xml:space="preserve">4.9</t>
  </si>
  <si>
    <t xml:space="preserve">Set up accounting (FreeAgent/Xero)</t>
  </si>
  <si>
    <t xml:space="preserve">Auto-categorise + receipt scanning</t>
  </si>
  <si>
    <t xml:space="preserve">LAUNCH DASHBOARD — Progress Overview</t>
  </si>
  <si>
    <t xml:space="preserve">Metric</t>
  </si>
  <si>
    <t xml:space="preserve">TOTAL</t>
  </si>
  <si>
    <t xml:space="preserve">Total Tasks</t>
  </si>
  <si>
    <t xml:space="preserve">Complete</t>
  </si>
  <si>
    <t xml:space="preserve">In Progress</t>
  </si>
  <si>
    <t xml:space="preserve">Blocked</t>
  </si>
  <si>
    <t xml:space="preserve">BUDGET &amp; EXPENSE TRACKER</t>
  </si>
  <si>
    <t xml:space="preserve">Category</t>
  </si>
  <si>
    <t xml:space="preserve">Item</t>
  </si>
  <si>
    <t xml:space="preserve">Budget (£)</t>
  </si>
  <si>
    <t xml:space="preserve">Actual (£)</t>
  </si>
  <si>
    <t xml:space="preserve">Variance (£)</t>
  </si>
  <si>
    <t xml:space="preserve">Equipment</t>
  </si>
  <si>
    <t xml:space="preserve">Camera (smartphone/Sony ZV-1F)</t>
  </si>
  <si>
    <t xml:space="preserve">DJI Osmo Mobile SE gimbal</t>
  </si>
  <si>
    <t xml:space="preserve">Rode Wireless ME microphone</t>
  </si>
  <si>
    <t xml:space="preserve">Software</t>
  </si>
  <si>
    <t xml:space="preserve">CapCut (free) / Adobe Premiere</t>
  </si>
  <si>
    <t xml:space="preserve">Midjourney subscription (£8/mo x 12)</t>
  </si>
  <si>
    <t xml:space="preserve">Canva Pro (£10/mo x 12)</t>
  </si>
  <si>
    <t xml:space="preserve">ElevenLabs AI voice (£5/mo x 12)</t>
  </si>
  <si>
    <t xml:space="preserve">Platform</t>
  </si>
  <si>
    <t xml:space="preserve">X Premium x4 accounts (£32/mo x 12)</t>
  </si>
  <si>
    <t xml:space="preserve">AI Characters</t>
  </si>
  <si>
    <t xml:space="preserve">Character design (Fox, Goat, Dark Goat)</t>
  </si>
  <si>
    <t xml:space="preserve">Content</t>
  </si>
  <si>
    <t xml:space="preserve">Cross-posting tool (Later/Buffer, £15/mo x 10)</t>
  </si>
  <si>
    <t xml:space="preserve">Freelance editor (Month 7-12, £1,000/mo x 6)</t>
  </si>
  <si>
    <t xml:space="preserve">Business</t>
  </si>
  <si>
    <t xml:space="preserve">HMRC registration / accountant</t>
  </si>
  <si>
    <t xml:space="preserve">FreeAgent/Xero accounting (£12/mo x 12)</t>
  </si>
  <si>
    <t xml:space="preserve">Merch</t>
  </si>
  <si>
    <t xml:space="preserve">Print-on-demand setup (Printful/Gelato)</t>
  </si>
  <si>
    <t xml:space="preserve">Marketing</t>
  </si>
  <si>
    <t xml:space="preserve">Newsletter platform (Beehiiv free tier)</t>
  </si>
  <si>
    <t xml:space="preserve">WEEKLY CONTENT CALENDAR TEMPLATE</t>
  </si>
  <si>
    <t xml:space="preserve">Day</t>
  </si>
  <si>
    <t xml:space="preserve">Channel</t>
  </si>
  <si>
    <t xml:space="preserve">Format</t>
  </si>
  <si>
    <t xml:space="preserve">Topic / Hook</t>
  </si>
  <si>
    <t xml:space="preserve">Scheduled Time</t>
  </si>
  <si>
    <t xml:space="preserve">Performance Notes</t>
  </si>
  <si>
    <t xml:space="preserve">Monday</t>
  </si>
  <si>
    <t xml:space="preserve">LondonIn&amp;Out</t>
  </si>
  <si>
    <t xml:space="preserve">TikTok</t>
  </si>
  <si>
    <t xml:space="preserve">IN/OUT Reel (60-90s)</t>
  </si>
  <si>
    <t xml:space="preserve">Draft</t>
  </si>
  <si>
    <t xml:space="preserve">X/Twitter</t>
  </si>
  <si>
    <t xml:space="preserve">Hot Take Tweet + Poll</t>
  </si>
  <si>
    <t xml:space="preserve">LondonGoat</t>
  </si>
  <si>
    <t xml:space="preserve">Street Scene Reel (15-60s)</t>
  </si>
  <si>
    <t xml:space="preserve">BlackGoat (X)</t>
  </si>
  <si>
    <t xml:space="preserve">News Commentary Tweet</t>
  </si>
  <si>
    <t xml:space="preserve">Tuesday</t>
  </si>
  <si>
    <t xml:space="preserve">Instagram</t>
  </si>
  <si>
    <t xml:space="preserve">IN/OUT Carousel (5 slides)</t>
  </si>
  <si>
    <t xml:space="preserve">London Walk Reel</t>
  </si>
  <si>
    <t xml:space="preserve">Instagram Stories</t>
  </si>
  <si>
    <t xml:space="preserve">Behind-the-scenes Story</t>
  </si>
  <si>
    <t xml:space="preserve">Wednesday</t>
  </si>
  <si>
    <t xml:space="preserve">IN/OUT Reel</t>
  </si>
  <si>
    <t xml:space="preserve">Facebook</t>
  </si>
  <si>
    <t xml:space="preserve">IN/OUT Reel (native upload)</t>
  </si>
  <si>
    <t xml:space="preserve">BlackGoat</t>
  </si>
  <si>
    <t xml:space="preserve">BlackGoat Reads Papers Reel</t>
  </si>
  <si>
    <t xml:space="preserve">PeoplesofLondon</t>
  </si>
  <si>
    <t xml:space="preserve">Portrait + Long Caption</t>
  </si>
  <si>
    <t xml:space="preserve">Thursday</t>
  </si>
  <si>
    <t xml:space="preserve">Street Scene Reel</t>
  </si>
  <si>
    <t xml:space="preserve">YouTube Shorts</t>
  </si>
  <si>
    <t xml:space="preserve">Street Moment Short</t>
  </si>
  <si>
    <t xml:space="preserve">Devil's Advocate Thread</t>
  </si>
  <si>
    <t xml:space="preserve">Friday</t>
  </si>
  <si>
    <t xml:space="preserve">Instagram Carousel</t>
  </si>
  <si>
    <t xml:space="preserve">Weekly IN/OUT Round-up</t>
  </si>
  <si>
    <t xml:space="preserve">Hidden Gem Reel</t>
  </si>
  <si>
    <t xml:space="preserve">YouTube</t>
  </si>
  <si>
    <t xml:space="preserve">Mini-Documentary (3-5min)</t>
  </si>
  <si>
    <t xml:space="preserve">Saturday</t>
  </si>
  <si>
    <t xml:space="preserve">Weekend London Reel</t>
  </si>
  <si>
    <t xml:space="preserve">X/Twitter Poll</t>
  </si>
  <si>
    <t xml:space="preserve">Weekly IN or OUT? Vote</t>
  </si>
  <si>
    <t xml:space="preserve">Sunday</t>
  </si>
  <si>
    <t xml:space="preserve">Community Story Post</t>
  </si>
  <si>
    <t xml:space="preserve">X/Twitter Thread</t>
  </si>
  <si>
    <t xml:space="preserve">Weekly News Round-up Thread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</si>
</sst>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\£#,##0"/>
    <numFmt numFmtId="167" formatCode="\£#,##0;&quot;(£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13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213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AF6"/>
        <bgColor rgb="FFF0F0F0"/>
      </patternFill>
    </fill>
    <fill>
      <patternFill patternType="solid">
        <fgColor rgb="FF16213E"/>
        <bgColor rgb="FF003300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6213E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EF7E0"/>
          <bgColor rgb="FF000000"/>
        </patternFill>
      </fill>
    </dxf>
    <dxf>
      <fill>
        <patternFill patternType="solid">
          <fgColor rgb="FF0F9D58"/>
          <bgColor rgb="FF000000"/>
        </patternFill>
      </fill>
    </dxf>
    <dxf>
      <fill>
        <patternFill patternType="solid">
          <fgColor rgb="FFD93025"/>
          <bgColor rgb="FF000000"/>
        </patternFill>
      </fill>
    </dxf>
    <dxf>
      <fill>
        <patternFill patternType="solid">
          <fgColor rgb="FFE374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E37400"/>
      </font>
      <fill>
        <patternFill>
          <bgColor rgb="FFFEF7E0"/>
        </patternFill>
      </fill>
    </dxf>
    <dxf>
      <font>
        <color rgb="FF666666"/>
      </font>
      <fill>
        <patternFill>
          <bgColor rgb="FFF0F0F0"/>
        </patternFill>
      </fill>
    </dxf>
    <dxf>
      <font>
        <color rgb="FFD93025"/>
      </font>
      <fill>
        <patternFill>
          <bgColor rgb="FFFDECEA"/>
        </patternFill>
      </fill>
    </dxf>
    <dxf>
      <font>
        <b val="1"/>
        <color rgb="FFD93025"/>
      </font>
      <fill>
        <patternFill>
          <bgColor rgb="FFFDECEA"/>
        </patternFill>
      </fill>
    </dxf>
    <dxf>
      <font>
        <b val="1"/>
        <color rgb="FFE37400"/>
      </font>
      <fill>
        <patternFill>
          <bgColor rgb="FFFEF7E0"/>
        </patternFill>
      </fill>
    </dxf>
    <dxf>
      <font>
        <b val="1"/>
        <color rgb="FF0F9D58"/>
      </font>
      <fill>
        <patternFill>
          <bgColor rgb="FFE6F4EA"/>
        </patternFill>
      </fill>
    </dxf>
    <dxf>
      <font>
        <color rgb="FF1A5276"/>
      </font>
      <fill>
        <patternFill>
          <bgColor rgb="FFD4E6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E94560"/>
      <rgbColor rgb="FFFEF7E0"/>
      <rgbColor rgb="FFE6F4EA"/>
      <rgbColor rgb="FF660066"/>
      <rgbColor rgb="FFFF8080"/>
      <rgbColor rgb="FF0066CC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6F1"/>
      <rgbColor rgb="FFC6EFCE"/>
      <rgbColor rgb="FFFDECEA"/>
      <rgbColor rgb="FFF8F9FA"/>
      <rgbColor rgb="FFFF99CC"/>
      <rgbColor rgb="FFCC99FF"/>
      <rgbColor rgb="FFF0F0F0"/>
      <rgbColor rgb="FF3366FF"/>
      <rgbColor rgb="FF33CCCC"/>
      <rgbColor rgb="FF99CC00"/>
      <rgbColor rgb="FFFFCC00"/>
      <rgbColor rgb="FFFF9900"/>
      <rgbColor rgb="FFE37400"/>
      <rgbColor rgb="FF666666"/>
      <rgbColor rgb="FF969696"/>
      <rgbColor rgb="FF1A5276"/>
      <rgbColor rgb="FF0F9D58"/>
      <rgbColor rgb="FF003300"/>
      <rgbColor rgb="FF333300"/>
      <rgbColor rgb="FFD93025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13E"/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23.85" hidden="false" customHeight="false" outlineLevel="0" collapsed="false">
      <c r="A3" s="3" t="s">
        <v>10</v>
      </c>
      <c r="B3" s="3" t="s">
        <v>11</v>
      </c>
      <c r="C3" s="3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5" t="n">
        <v>0</v>
      </c>
      <c r="I3" s="4" t="s">
        <v>17</v>
      </c>
    </row>
    <row r="4" customFormat="false" ht="23.85" hidden="false" customHeight="false" outlineLevel="0" collapsed="false">
      <c r="A4" s="6" t="s">
        <v>10</v>
      </c>
      <c r="B4" s="6" t="s">
        <v>18</v>
      </c>
      <c r="C4" s="6" t="s">
        <v>19</v>
      </c>
      <c r="D4" s="7" t="s">
        <v>13</v>
      </c>
      <c r="E4" s="7" t="s">
        <v>14</v>
      </c>
      <c r="F4" s="7" t="s">
        <v>15</v>
      </c>
      <c r="G4" s="7" t="s">
        <v>16</v>
      </c>
      <c r="H4" s="8" t="n">
        <v>0</v>
      </c>
      <c r="I4" s="7" t="s">
        <v>20</v>
      </c>
    </row>
    <row r="5" customFormat="false" ht="15" hidden="false" customHeight="false" outlineLevel="0" collapsed="false">
      <c r="A5" s="3" t="s">
        <v>10</v>
      </c>
      <c r="B5" s="3" t="s">
        <v>21</v>
      </c>
      <c r="C5" s="3" t="s">
        <v>22</v>
      </c>
      <c r="D5" s="4" t="s">
        <v>13</v>
      </c>
      <c r="E5" s="4" t="s">
        <v>14</v>
      </c>
      <c r="F5" s="4" t="s">
        <v>15</v>
      </c>
      <c r="G5" s="4" t="s">
        <v>16</v>
      </c>
      <c r="H5" s="5" t="n">
        <v>0</v>
      </c>
      <c r="I5" s="4" t="s">
        <v>23</v>
      </c>
    </row>
    <row r="6" customFormat="false" ht="23.85" hidden="false" customHeight="false" outlineLevel="0" collapsed="false">
      <c r="A6" s="6" t="s">
        <v>10</v>
      </c>
      <c r="B6" s="6" t="s">
        <v>24</v>
      </c>
      <c r="C6" s="6" t="s">
        <v>25</v>
      </c>
      <c r="D6" s="7" t="s">
        <v>26</v>
      </c>
      <c r="E6" s="7" t="s">
        <v>14</v>
      </c>
      <c r="F6" s="7" t="s">
        <v>15</v>
      </c>
      <c r="G6" s="7" t="s">
        <v>16</v>
      </c>
      <c r="H6" s="8" t="n">
        <v>0</v>
      </c>
      <c r="I6" s="7" t="s">
        <v>27</v>
      </c>
    </row>
    <row r="7" customFormat="false" ht="15" hidden="false" customHeight="false" outlineLevel="0" collapsed="false">
      <c r="A7" s="3" t="s">
        <v>10</v>
      </c>
      <c r="B7" s="3" t="s">
        <v>28</v>
      </c>
      <c r="C7" s="3" t="s">
        <v>29</v>
      </c>
      <c r="D7" s="4" t="s">
        <v>13</v>
      </c>
      <c r="E7" s="4" t="s">
        <v>14</v>
      </c>
      <c r="F7" s="4" t="s">
        <v>15</v>
      </c>
      <c r="G7" s="4" t="s">
        <v>30</v>
      </c>
      <c r="H7" s="5" t="n">
        <v>0</v>
      </c>
      <c r="I7" s="4" t="s">
        <v>31</v>
      </c>
    </row>
    <row r="8" customFormat="false" ht="15" hidden="false" customHeight="false" outlineLevel="0" collapsed="false">
      <c r="A8" s="6" t="s">
        <v>10</v>
      </c>
      <c r="B8" s="6" t="s">
        <v>32</v>
      </c>
      <c r="C8" s="6" t="s">
        <v>33</v>
      </c>
      <c r="D8" s="7" t="s">
        <v>13</v>
      </c>
      <c r="E8" s="7" t="s">
        <v>14</v>
      </c>
      <c r="F8" s="7" t="s">
        <v>15</v>
      </c>
      <c r="G8" s="7" t="s">
        <v>30</v>
      </c>
      <c r="H8" s="8" t="n">
        <v>0</v>
      </c>
      <c r="I8" s="7" t="s">
        <v>34</v>
      </c>
    </row>
    <row r="9" customFormat="false" ht="15" hidden="false" customHeight="false" outlineLevel="0" collapsed="false">
      <c r="A9" s="3" t="s">
        <v>10</v>
      </c>
      <c r="B9" s="3" t="s">
        <v>35</v>
      </c>
      <c r="C9" s="3" t="s">
        <v>36</v>
      </c>
      <c r="D9" s="4" t="s">
        <v>13</v>
      </c>
      <c r="E9" s="4" t="s">
        <v>14</v>
      </c>
      <c r="F9" s="4" t="s">
        <v>15</v>
      </c>
      <c r="G9" s="4" t="s">
        <v>37</v>
      </c>
      <c r="H9" s="5" t="n">
        <v>0</v>
      </c>
      <c r="I9" s="4" t="s">
        <v>38</v>
      </c>
    </row>
    <row r="10" customFormat="false" ht="15" hidden="false" customHeight="false" outlineLevel="0" collapsed="false">
      <c r="A10" s="6" t="s">
        <v>10</v>
      </c>
      <c r="B10" s="6" t="s">
        <v>39</v>
      </c>
      <c r="C10" s="6" t="s">
        <v>40</v>
      </c>
      <c r="D10" s="7" t="s">
        <v>13</v>
      </c>
      <c r="E10" s="7" t="s">
        <v>14</v>
      </c>
      <c r="F10" s="7" t="s">
        <v>15</v>
      </c>
      <c r="G10" s="7" t="s">
        <v>30</v>
      </c>
      <c r="H10" s="8" t="n">
        <v>0</v>
      </c>
      <c r="I10" s="7" t="s">
        <v>41</v>
      </c>
    </row>
    <row r="11" customFormat="false" ht="15" hidden="false" customHeight="false" outlineLevel="0" collapsed="false">
      <c r="A11" s="3" t="s">
        <v>10</v>
      </c>
      <c r="B11" s="3" t="s">
        <v>42</v>
      </c>
      <c r="C11" s="3" t="s">
        <v>43</v>
      </c>
      <c r="D11" s="4" t="s">
        <v>13</v>
      </c>
      <c r="E11" s="4" t="s">
        <v>44</v>
      </c>
      <c r="F11" s="4" t="s">
        <v>15</v>
      </c>
      <c r="G11" s="4" t="s">
        <v>16</v>
      </c>
      <c r="H11" s="5" t="n">
        <v>0</v>
      </c>
      <c r="I11" s="4" t="s">
        <v>45</v>
      </c>
    </row>
    <row r="12" customFormat="false" ht="15" hidden="false" customHeight="false" outlineLevel="0" collapsed="false">
      <c r="A12" s="6" t="s">
        <v>10</v>
      </c>
      <c r="B12" s="6" t="s">
        <v>46</v>
      </c>
      <c r="C12" s="6" t="s">
        <v>47</v>
      </c>
      <c r="D12" s="7" t="s">
        <v>26</v>
      </c>
      <c r="E12" s="7" t="s">
        <v>44</v>
      </c>
      <c r="F12" s="7" t="s">
        <v>15</v>
      </c>
      <c r="G12" s="7" t="s">
        <v>16</v>
      </c>
      <c r="H12" s="8" t="n">
        <v>0</v>
      </c>
      <c r="I12" s="7" t="s">
        <v>48</v>
      </c>
    </row>
    <row r="13" customFormat="false" ht="15" hidden="false" customHeight="false" outlineLevel="0" collapsed="false">
      <c r="A13" s="3" t="s">
        <v>10</v>
      </c>
      <c r="B13" s="3" t="s">
        <v>49</v>
      </c>
      <c r="C13" s="3" t="s">
        <v>50</v>
      </c>
      <c r="D13" s="4" t="s">
        <v>13</v>
      </c>
      <c r="E13" s="4" t="s">
        <v>44</v>
      </c>
      <c r="F13" s="4" t="s">
        <v>15</v>
      </c>
      <c r="G13" s="4" t="s">
        <v>16</v>
      </c>
      <c r="H13" s="5" t="n">
        <v>0</v>
      </c>
      <c r="I13" s="4" t="s">
        <v>51</v>
      </c>
    </row>
    <row r="14" customFormat="false" ht="15" hidden="false" customHeight="false" outlineLevel="0" collapsed="false">
      <c r="A14" s="6" t="s">
        <v>10</v>
      </c>
      <c r="B14" s="6" t="s">
        <v>52</v>
      </c>
      <c r="C14" s="6" t="s">
        <v>53</v>
      </c>
      <c r="D14" s="7" t="s">
        <v>26</v>
      </c>
      <c r="E14" s="7" t="s">
        <v>44</v>
      </c>
      <c r="F14" s="7" t="s">
        <v>15</v>
      </c>
      <c r="G14" s="7" t="s">
        <v>30</v>
      </c>
      <c r="H14" s="8" t="n">
        <v>0</v>
      </c>
      <c r="I14" s="7" t="s">
        <v>54</v>
      </c>
    </row>
    <row r="15" customFormat="false" ht="15" hidden="false" customHeight="false" outlineLevel="0" collapsed="false">
      <c r="A15" s="3" t="s">
        <v>10</v>
      </c>
      <c r="B15" s="3" t="s">
        <v>55</v>
      </c>
      <c r="C15" s="3" t="s">
        <v>56</v>
      </c>
      <c r="D15" s="4" t="s">
        <v>26</v>
      </c>
      <c r="E15" s="4" t="s">
        <v>44</v>
      </c>
      <c r="F15" s="4" t="s">
        <v>15</v>
      </c>
      <c r="G15" s="4" t="s">
        <v>30</v>
      </c>
      <c r="H15" s="5" t="n">
        <v>0</v>
      </c>
      <c r="I15" s="4" t="s">
        <v>57</v>
      </c>
    </row>
    <row r="16" customFormat="false" ht="23.85" hidden="false" customHeight="false" outlineLevel="0" collapsed="false">
      <c r="A16" s="6" t="s">
        <v>10</v>
      </c>
      <c r="B16" s="6" t="s">
        <v>58</v>
      </c>
      <c r="C16" s="6" t="s">
        <v>59</v>
      </c>
      <c r="D16" s="7" t="s">
        <v>13</v>
      </c>
      <c r="E16" s="7" t="s">
        <v>60</v>
      </c>
      <c r="F16" s="7" t="s">
        <v>15</v>
      </c>
      <c r="G16" s="7" t="s">
        <v>16</v>
      </c>
      <c r="H16" s="8" t="n">
        <v>0</v>
      </c>
      <c r="I16" s="7" t="s">
        <v>61</v>
      </c>
    </row>
    <row r="17" customFormat="false" ht="15" hidden="false" customHeight="false" outlineLevel="0" collapsed="false">
      <c r="A17" s="3" t="s">
        <v>10</v>
      </c>
      <c r="B17" s="3" t="s">
        <v>62</v>
      </c>
      <c r="C17" s="3" t="s">
        <v>63</v>
      </c>
      <c r="D17" s="4" t="s">
        <v>13</v>
      </c>
      <c r="E17" s="4" t="s">
        <v>60</v>
      </c>
      <c r="F17" s="4" t="s">
        <v>15</v>
      </c>
      <c r="G17" s="4" t="s">
        <v>30</v>
      </c>
      <c r="H17" s="5" t="n">
        <v>0</v>
      </c>
      <c r="I17" s="4" t="s">
        <v>64</v>
      </c>
    </row>
    <row r="18" customFormat="false" ht="15" hidden="false" customHeight="false" outlineLevel="0" collapsed="false">
      <c r="A18" s="6" t="s">
        <v>10</v>
      </c>
      <c r="B18" s="6" t="s">
        <v>65</v>
      </c>
      <c r="C18" s="6" t="s">
        <v>66</v>
      </c>
      <c r="D18" s="7" t="s">
        <v>67</v>
      </c>
      <c r="E18" s="7" t="s">
        <v>68</v>
      </c>
      <c r="F18" s="7" t="s">
        <v>15</v>
      </c>
      <c r="G18" s="7" t="s">
        <v>16</v>
      </c>
      <c r="H18" s="8" t="n">
        <v>0</v>
      </c>
      <c r="I18" s="7" t="s">
        <v>69</v>
      </c>
    </row>
    <row r="19" customFormat="false" ht="15" hidden="false" customHeight="false" outlineLevel="0" collapsed="false">
      <c r="A19" s="3" t="s">
        <v>70</v>
      </c>
      <c r="B19" s="3" t="s">
        <v>71</v>
      </c>
      <c r="C19" s="3" t="s">
        <v>72</v>
      </c>
      <c r="D19" s="4" t="s">
        <v>13</v>
      </c>
      <c r="E19" s="4" t="s">
        <v>73</v>
      </c>
      <c r="F19" s="4" t="s">
        <v>15</v>
      </c>
      <c r="G19" s="4" t="s">
        <v>16</v>
      </c>
      <c r="H19" s="5" t="n">
        <v>0</v>
      </c>
      <c r="I19" s="4" t="s">
        <v>74</v>
      </c>
    </row>
    <row r="20" customFormat="false" ht="15" hidden="false" customHeight="false" outlineLevel="0" collapsed="false">
      <c r="A20" s="6" t="s">
        <v>70</v>
      </c>
      <c r="B20" s="6" t="s">
        <v>75</v>
      </c>
      <c r="C20" s="6" t="s">
        <v>76</v>
      </c>
      <c r="D20" s="7" t="s">
        <v>13</v>
      </c>
      <c r="E20" s="7" t="s">
        <v>73</v>
      </c>
      <c r="F20" s="7" t="s">
        <v>15</v>
      </c>
      <c r="G20" s="7" t="s">
        <v>16</v>
      </c>
      <c r="H20" s="8" t="n">
        <v>0</v>
      </c>
      <c r="I20" s="7" t="s">
        <v>77</v>
      </c>
    </row>
    <row r="21" customFormat="false" ht="23.85" hidden="false" customHeight="false" outlineLevel="0" collapsed="false">
      <c r="A21" s="3" t="s">
        <v>70</v>
      </c>
      <c r="B21" s="3" t="s">
        <v>78</v>
      </c>
      <c r="C21" s="3" t="s">
        <v>79</v>
      </c>
      <c r="D21" s="4" t="s">
        <v>13</v>
      </c>
      <c r="E21" s="4" t="s">
        <v>68</v>
      </c>
      <c r="F21" s="4" t="s">
        <v>15</v>
      </c>
      <c r="G21" s="4" t="s">
        <v>16</v>
      </c>
      <c r="H21" s="5" t="n">
        <v>0</v>
      </c>
      <c r="I21" s="4" t="s">
        <v>80</v>
      </c>
    </row>
    <row r="22" customFormat="false" ht="23.85" hidden="false" customHeight="false" outlineLevel="0" collapsed="false">
      <c r="A22" s="6" t="s">
        <v>70</v>
      </c>
      <c r="B22" s="6" t="s">
        <v>81</v>
      </c>
      <c r="C22" s="6" t="s">
        <v>82</v>
      </c>
      <c r="D22" s="7" t="s">
        <v>26</v>
      </c>
      <c r="E22" s="7" t="s">
        <v>83</v>
      </c>
      <c r="F22" s="7" t="s">
        <v>15</v>
      </c>
      <c r="G22" s="7" t="s">
        <v>16</v>
      </c>
      <c r="H22" s="8" t="n">
        <v>0</v>
      </c>
      <c r="I22" s="7" t="s">
        <v>84</v>
      </c>
    </row>
    <row r="23" customFormat="false" ht="15" hidden="false" customHeight="false" outlineLevel="0" collapsed="false">
      <c r="A23" s="3" t="s">
        <v>70</v>
      </c>
      <c r="B23" s="3" t="s">
        <v>85</v>
      </c>
      <c r="C23" s="3" t="s">
        <v>86</v>
      </c>
      <c r="D23" s="4" t="s">
        <v>13</v>
      </c>
      <c r="E23" s="4" t="s">
        <v>83</v>
      </c>
      <c r="F23" s="4" t="s">
        <v>15</v>
      </c>
      <c r="G23" s="4" t="s">
        <v>16</v>
      </c>
      <c r="H23" s="5" t="n">
        <v>0</v>
      </c>
      <c r="I23" s="4" t="s">
        <v>87</v>
      </c>
    </row>
    <row r="24" customFormat="false" ht="15" hidden="false" customHeight="false" outlineLevel="0" collapsed="false">
      <c r="A24" s="6" t="s">
        <v>70</v>
      </c>
      <c r="B24" s="6" t="s">
        <v>88</v>
      </c>
      <c r="C24" s="6" t="s">
        <v>89</v>
      </c>
      <c r="D24" s="7" t="s">
        <v>26</v>
      </c>
      <c r="E24" s="7" t="s">
        <v>68</v>
      </c>
      <c r="F24" s="7" t="s">
        <v>15</v>
      </c>
      <c r="G24" s="7" t="s">
        <v>16</v>
      </c>
      <c r="H24" s="8" t="n">
        <v>0</v>
      </c>
      <c r="I24" s="7" t="s">
        <v>90</v>
      </c>
    </row>
    <row r="25" customFormat="false" ht="15" hidden="false" customHeight="false" outlineLevel="0" collapsed="false">
      <c r="A25" s="3" t="s">
        <v>70</v>
      </c>
      <c r="B25" s="3" t="s">
        <v>91</v>
      </c>
      <c r="C25" s="3" t="s">
        <v>92</v>
      </c>
      <c r="D25" s="4" t="s">
        <v>13</v>
      </c>
      <c r="E25" s="4" t="s">
        <v>93</v>
      </c>
      <c r="F25" s="4" t="s">
        <v>15</v>
      </c>
      <c r="G25" s="4" t="s">
        <v>30</v>
      </c>
      <c r="H25" s="5" t="n">
        <v>0</v>
      </c>
      <c r="I25" s="4" t="s">
        <v>94</v>
      </c>
    </row>
    <row r="26" customFormat="false" ht="15" hidden="false" customHeight="false" outlineLevel="0" collapsed="false">
      <c r="A26" s="6" t="s">
        <v>70</v>
      </c>
      <c r="B26" s="6" t="s">
        <v>95</v>
      </c>
      <c r="C26" s="6" t="s">
        <v>96</v>
      </c>
      <c r="D26" s="7" t="s">
        <v>13</v>
      </c>
      <c r="E26" s="7" t="s">
        <v>68</v>
      </c>
      <c r="F26" s="7" t="s">
        <v>15</v>
      </c>
      <c r="G26" s="7" t="s">
        <v>16</v>
      </c>
      <c r="H26" s="8" t="n">
        <v>0</v>
      </c>
      <c r="I26" s="7" t="s">
        <v>97</v>
      </c>
    </row>
    <row r="27" customFormat="false" ht="15" hidden="false" customHeight="false" outlineLevel="0" collapsed="false">
      <c r="A27" s="3" t="s">
        <v>70</v>
      </c>
      <c r="B27" s="3" t="s">
        <v>98</v>
      </c>
      <c r="C27" s="3" t="s">
        <v>99</v>
      </c>
      <c r="D27" s="4" t="s">
        <v>26</v>
      </c>
      <c r="E27" s="4" t="s">
        <v>93</v>
      </c>
      <c r="F27" s="4" t="s">
        <v>15</v>
      </c>
      <c r="G27" s="4" t="s">
        <v>30</v>
      </c>
      <c r="H27" s="5" t="n">
        <v>0</v>
      </c>
      <c r="I27" s="4" t="s">
        <v>100</v>
      </c>
    </row>
    <row r="28" customFormat="false" ht="15" hidden="false" customHeight="false" outlineLevel="0" collapsed="false">
      <c r="A28" s="6" t="s">
        <v>70</v>
      </c>
      <c r="B28" s="6" t="s">
        <v>101</v>
      </c>
      <c r="C28" s="6" t="s">
        <v>102</v>
      </c>
      <c r="D28" s="7" t="s">
        <v>26</v>
      </c>
      <c r="E28" s="7" t="s">
        <v>68</v>
      </c>
      <c r="F28" s="7" t="s">
        <v>15</v>
      </c>
      <c r="G28" s="7" t="s">
        <v>30</v>
      </c>
      <c r="H28" s="8" t="n">
        <v>0</v>
      </c>
      <c r="I28" s="7" t="s">
        <v>103</v>
      </c>
    </row>
    <row r="29" customFormat="false" ht="15" hidden="false" customHeight="false" outlineLevel="0" collapsed="false">
      <c r="A29" s="3" t="s">
        <v>104</v>
      </c>
      <c r="B29" s="3" t="s">
        <v>105</v>
      </c>
      <c r="C29" s="3" t="s">
        <v>106</v>
      </c>
      <c r="D29" s="4" t="s">
        <v>13</v>
      </c>
      <c r="E29" s="4" t="s">
        <v>107</v>
      </c>
      <c r="F29" s="4" t="s">
        <v>15</v>
      </c>
      <c r="G29" s="4" t="s">
        <v>16</v>
      </c>
      <c r="H29" s="5" t="n">
        <v>0</v>
      </c>
      <c r="I29" s="4" t="s">
        <v>108</v>
      </c>
    </row>
    <row r="30" customFormat="false" ht="15" hidden="false" customHeight="false" outlineLevel="0" collapsed="false">
      <c r="A30" s="6" t="s">
        <v>104</v>
      </c>
      <c r="B30" s="6" t="s">
        <v>109</v>
      </c>
      <c r="C30" s="6" t="s">
        <v>110</v>
      </c>
      <c r="D30" s="7" t="s">
        <v>13</v>
      </c>
      <c r="E30" s="7" t="s">
        <v>107</v>
      </c>
      <c r="F30" s="7" t="s">
        <v>15</v>
      </c>
      <c r="G30" s="7" t="s">
        <v>30</v>
      </c>
      <c r="H30" s="8" t="n">
        <v>0</v>
      </c>
      <c r="I30" s="7" t="s">
        <v>111</v>
      </c>
    </row>
    <row r="31" customFormat="false" ht="15" hidden="false" customHeight="false" outlineLevel="0" collapsed="false">
      <c r="A31" s="3" t="s">
        <v>104</v>
      </c>
      <c r="B31" s="3" t="s">
        <v>112</v>
      </c>
      <c r="C31" s="3" t="s">
        <v>113</v>
      </c>
      <c r="D31" s="4" t="s">
        <v>13</v>
      </c>
      <c r="E31" s="4" t="s">
        <v>107</v>
      </c>
      <c r="F31" s="4" t="s">
        <v>15</v>
      </c>
      <c r="G31" s="4" t="s">
        <v>16</v>
      </c>
      <c r="H31" s="5" t="n">
        <v>0</v>
      </c>
      <c r="I31" s="4" t="s">
        <v>114</v>
      </c>
    </row>
    <row r="32" customFormat="false" ht="15" hidden="false" customHeight="false" outlineLevel="0" collapsed="false">
      <c r="A32" s="6" t="s">
        <v>104</v>
      </c>
      <c r="B32" s="6" t="s">
        <v>115</v>
      </c>
      <c r="C32" s="6" t="s">
        <v>116</v>
      </c>
      <c r="D32" s="7" t="s">
        <v>26</v>
      </c>
      <c r="E32" s="7" t="s">
        <v>117</v>
      </c>
      <c r="F32" s="7" t="s">
        <v>15</v>
      </c>
      <c r="G32" s="7" t="s">
        <v>16</v>
      </c>
      <c r="H32" s="8" t="n">
        <v>0</v>
      </c>
      <c r="I32" s="7" t="s">
        <v>118</v>
      </c>
    </row>
    <row r="33" customFormat="false" ht="15" hidden="false" customHeight="false" outlineLevel="0" collapsed="false">
      <c r="A33" s="3" t="s">
        <v>104</v>
      </c>
      <c r="B33" s="3" t="s">
        <v>119</v>
      </c>
      <c r="C33" s="3" t="s">
        <v>120</v>
      </c>
      <c r="D33" s="4" t="s">
        <v>67</v>
      </c>
      <c r="E33" s="4" t="s">
        <v>117</v>
      </c>
      <c r="F33" s="4" t="s">
        <v>15</v>
      </c>
      <c r="G33" s="4" t="s">
        <v>16</v>
      </c>
      <c r="H33" s="5" t="n">
        <v>0</v>
      </c>
      <c r="I33" s="4" t="s">
        <v>121</v>
      </c>
    </row>
    <row r="34" customFormat="false" ht="15" hidden="false" customHeight="false" outlineLevel="0" collapsed="false">
      <c r="A34" s="6" t="s">
        <v>104</v>
      </c>
      <c r="B34" s="6" t="s">
        <v>122</v>
      </c>
      <c r="C34" s="6" t="s">
        <v>123</v>
      </c>
      <c r="D34" s="7" t="s">
        <v>67</v>
      </c>
      <c r="E34" s="7" t="s">
        <v>117</v>
      </c>
      <c r="F34" s="7" t="s">
        <v>15</v>
      </c>
      <c r="G34" s="7" t="s">
        <v>16</v>
      </c>
      <c r="H34" s="8" t="n">
        <v>0</v>
      </c>
      <c r="I34" s="7" t="s">
        <v>124</v>
      </c>
    </row>
    <row r="35" customFormat="false" ht="15" hidden="false" customHeight="false" outlineLevel="0" collapsed="false">
      <c r="A35" s="3" t="s">
        <v>104</v>
      </c>
      <c r="B35" s="3" t="s">
        <v>125</v>
      </c>
      <c r="C35" s="3" t="s">
        <v>126</v>
      </c>
      <c r="D35" s="4" t="s">
        <v>13</v>
      </c>
      <c r="E35" s="4" t="s">
        <v>117</v>
      </c>
      <c r="F35" s="4" t="s">
        <v>15</v>
      </c>
      <c r="G35" s="4" t="s">
        <v>16</v>
      </c>
      <c r="H35" s="5" t="n">
        <v>0</v>
      </c>
      <c r="I35" s="4" t="s">
        <v>127</v>
      </c>
    </row>
    <row r="36" customFormat="false" ht="15" hidden="false" customHeight="false" outlineLevel="0" collapsed="false">
      <c r="A36" s="6" t="s">
        <v>104</v>
      </c>
      <c r="B36" s="6" t="s">
        <v>128</v>
      </c>
      <c r="C36" s="6" t="s">
        <v>129</v>
      </c>
      <c r="D36" s="7" t="s">
        <v>26</v>
      </c>
      <c r="E36" s="7" t="s">
        <v>117</v>
      </c>
      <c r="F36" s="7" t="s">
        <v>15</v>
      </c>
      <c r="G36" s="7" t="s">
        <v>30</v>
      </c>
      <c r="H36" s="8" t="n">
        <v>0</v>
      </c>
      <c r="I36" s="7" t="s">
        <v>130</v>
      </c>
    </row>
    <row r="37" customFormat="false" ht="15" hidden="false" customHeight="false" outlineLevel="0" collapsed="false">
      <c r="A37" s="3" t="s">
        <v>131</v>
      </c>
      <c r="B37" s="3" t="s">
        <v>132</v>
      </c>
      <c r="C37" s="3" t="s">
        <v>133</v>
      </c>
      <c r="D37" s="4" t="s">
        <v>13</v>
      </c>
      <c r="E37" s="4" t="s">
        <v>134</v>
      </c>
      <c r="F37" s="4" t="s">
        <v>15</v>
      </c>
      <c r="G37" s="4" t="s">
        <v>16</v>
      </c>
      <c r="H37" s="5" t="n">
        <v>0</v>
      </c>
      <c r="I37" s="4" t="s">
        <v>135</v>
      </c>
    </row>
    <row r="38" customFormat="false" ht="15" hidden="false" customHeight="false" outlineLevel="0" collapsed="false">
      <c r="A38" s="6" t="s">
        <v>131</v>
      </c>
      <c r="B38" s="6" t="s">
        <v>136</v>
      </c>
      <c r="C38" s="6" t="s">
        <v>137</v>
      </c>
      <c r="D38" s="7" t="s">
        <v>67</v>
      </c>
      <c r="E38" s="7" t="s">
        <v>134</v>
      </c>
      <c r="F38" s="7" t="s">
        <v>15</v>
      </c>
      <c r="G38" s="7" t="s">
        <v>16</v>
      </c>
      <c r="H38" s="8" t="n">
        <v>0</v>
      </c>
      <c r="I38" s="7" t="s">
        <v>138</v>
      </c>
    </row>
    <row r="39" customFormat="false" ht="15" hidden="false" customHeight="false" outlineLevel="0" collapsed="false">
      <c r="A39" s="3" t="s">
        <v>131</v>
      </c>
      <c r="B39" s="3" t="s">
        <v>139</v>
      </c>
      <c r="C39" s="3" t="s">
        <v>140</v>
      </c>
      <c r="D39" s="4" t="s">
        <v>13</v>
      </c>
      <c r="E39" s="4" t="s">
        <v>134</v>
      </c>
      <c r="F39" s="4" t="s">
        <v>15</v>
      </c>
      <c r="G39" s="4" t="s">
        <v>16</v>
      </c>
      <c r="H39" s="5" t="n">
        <v>0</v>
      </c>
      <c r="I39" s="4" t="s">
        <v>141</v>
      </c>
    </row>
    <row r="40" customFormat="false" ht="15" hidden="false" customHeight="false" outlineLevel="0" collapsed="false">
      <c r="A40" s="6" t="s">
        <v>131</v>
      </c>
      <c r="B40" s="6" t="s">
        <v>142</v>
      </c>
      <c r="C40" s="6" t="s">
        <v>143</v>
      </c>
      <c r="D40" s="7" t="s">
        <v>13</v>
      </c>
      <c r="E40" s="7" t="s">
        <v>144</v>
      </c>
      <c r="F40" s="7" t="s">
        <v>15</v>
      </c>
      <c r="G40" s="7" t="s">
        <v>30</v>
      </c>
      <c r="H40" s="8" t="n">
        <v>0</v>
      </c>
      <c r="I40" s="7" t="s">
        <v>145</v>
      </c>
    </row>
    <row r="41" customFormat="false" ht="15" hidden="false" customHeight="false" outlineLevel="0" collapsed="false">
      <c r="A41" s="3" t="s">
        <v>131</v>
      </c>
      <c r="B41" s="3" t="s">
        <v>146</v>
      </c>
      <c r="C41" s="3" t="s">
        <v>147</v>
      </c>
      <c r="D41" s="4" t="s">
        <v>13</v>
      </c>
      <c r="E41" s="4" t="s">
        <v>148</v>
      </c>
      <c r="F41" s="4" t="s">
        <v>15</v>
      </c>
      <c r="G41" s="4" t="s">
        <v>30</v>
      </c>
      <c r="H41" s="5" t="n">
        <v>0</v>
      </c>
      <c r="I41" s="4" t="s">
        <v>149</v>
      </c>
    </row>
    <row r="42" customFormat="false" ht="15" hidden="false" customHeight="false" outlineLevel="0" collapsed="false">
      <c r="A42" s="6" t="s">
        <v>131</v>
      </c>
      <c r="B42" s="6" t="s">
        <v>150</v>
      </c>
      <c r="C42" s="6" t="s">
        <v>151</v>
      </c>
      <c r="D42" s="7" t="s">
        <v>13</v>
      </c>
      <c r="E42" s="7" t="s">
        <v>144</v>
      </c>
      <c r="F42" s="7" t="s">
        <v>15</v>
      </c>
      <c r="G42" s="7" t="s">
        <v>37</v>
      </c>
      <c r="H42" s="8" t="n">
        <v>0</v>
      </c>
      <c r="I42" s="7" t="s">
        <v>152</v>
      </c>
    </row>
    <row r="43" customFormat="false" ht="15" hidden="false" customHeight="false" outlineLevel="0" collapsed="false">
      <c r="A43" s="3" t="s">
        <v>131</v>
      </c>
      <c r="B43" s="3" t="s">
        <v>153</v>
      </c>
      <c r="C43" s="3" t="s">
        <v>154</v>
      </c>
      <c r="D43" s="4" t="s">
        <v>13</v>
      </c>
      <c r="E43" s="4" t="s">
        <v>144</v>
      </c>
      <c r="F43" s="4" t="s">
        <v>15</v>
      </c>
      <c r="G43" s="4" t="s">
        <v>37</v>
      </c>
      <c r="H43" s="5" t="n">
        <v>0</v>
      </c>
      <c r="I43" s="4" t="s">
        <v>155</v>
      </c>
    </row>
    <row r="44" customFormat="false" ht="15" hidden="false" customHeight="false" outlineLevel="0" collapsed="false">
      <c r="A44" s="6" t="s">
        <v>131</v>
      </c>
      <c r="B44" s="6" t="s">
        <v>156</v>
      </c>
      <c r="C44" s="6" t="s">
        <v>157</v>
      </c>
      <c r="D44" s="7" t="s">
        <v>13</v>
      </c>
      <c r="E44" s="7" t="s">
        <v>158</v>
      </c>
      <c r="F44" s="7" t="s">
        <v>15</v>
      </c>
      <c r="G44" s="7" t="s">
        <v>16</v>
      </c>
      <c r="H44" s="8" t="n">
        <v>0</v>
      </c>
      <c r="I44" s="7" t="s">
        <v>159</v>
      </c>
    </row>
    <row r="45" customFormat="false" ht="15" hidden="false" customHeight="false" outlineLevel="0" collapsed="false">
      <c r="A45" s="3" t="s">
        <v>131</v>
      </c>
      <c r="B45" s="3" t="s">
        <v>160</v>
      </c>
      <c r="C45" s="3" t="s">
        <v>161</v>
      </c>
      <c r="D45" s="4" t="s">
        <v>13</v>
      </c>
      <c r="E45" s="4" t="s">
        <v>107</v>
      </c>
      <c r="F45" s="4" t="s">
        <v>15</v>
      </c>
      <c r="G45" s="4" t="s">
        <v>16</v>
      </c>
      <c r="H45" s="5" t="n">
        <v>0</v>
      </c>
      <c r="I45" s="4" t="s">
        <v>162</v>
      </c>
    </row>
  </sheetData>
  <autoFilter ref="A2:I45"/>
  <mergeCells count="1">
    <mergeCell ref="A1:I1"/>
  </mergeCells>
  <conditionalFormatting sqref="F3:F45">
    <cfRule type="cellIs" priority="2" operator="equal" aboveAverage="0" equalAverage="0" bottom="0" percent="0" rank="0" text="" dxfId="12">
      <formula>"Complete"</formula>
    </cfRule>
    <cfRule type="cellIs" priority="3" operator="equal" aboveAverage="0" equalAverage="0" bottom="0" percent="0" rank="0" text="" dxfId="13">
      <formula>"In Progress"</formula>
    </cfRule>
    <cfRule type="cellIs" priority="4" operator="equal" aboveAverage="0" equalAverage="0" bottom="0" percent="0" rank="0" text="" dxfId="14">
      <formula>"Not Started"</formula>
    </cfRule>
    <cfRule type="cellIs" priority="5" operator="equal" aboveAverage="0" equalAverage="0" bottom="0" percent="0" rank="0" text="" dxfId="15">
      <formula>"Blocked"</formula>
    </cfRule>
  </conditionalFormatting>
  <conditionalFormatting sqref="H3:H45">
    <cfRule type="dataBar" priority="6">
      <dataBar showValue="1" minLength="10" maxLength="90">
        <cfvo type="num" val="0"/>
        <cfvo type="num" val="1"/>
        <color rgb="FF0F9D58"/>
      </dataBar>
      <extLst>
        <ext xmlns:x14="http://schemas.microsoft.com/office/spreadsheetml/2009/9/main" uri="{B025F937-C7B1-47D3-B67F-A62EFF666E3E}">
          <x14:id>{D3F913BF-1A33-4070-B8B6-1BB6EAFD4E98}</x14:id>
        </ext>
      </extLst>
    </cfRule>
  </conditionalFormatting>
  <conditionalFormatting sqref="G3:G45">
    <cfRule type="cellIs" priority="7" operator="equal" aboveAverage="0" equalAverage="0" bottom="0" percent="0" rank="0" text="" dxfId="16">
      <formula>"HIGH"</formula>
    </cfRule>
    <cfRule type="cellIs" priority="8" operator="equal" aboveAverage="0" equalAverage="0" bottom="0" percent="0" rank="0" text="" dxfId="17">
      <formula>"MEDIUM"</formula>
    </cfRule>
    <cfRule type="cellIs" priority="9" operator="equal" aboveAverage="0" equalAverage="0" bottom="0" percent="0" rank="0" text="" dxfId="18">
      <formula>"LOW"</formula>
    </cfRule>
  </conditionalFormatting>
  <dataValidations count="2">
    <dataValidation allowBlank="true" error="Please select: Not Started, In Progress, Complete, or Blocked" errorStyle="stop" errorTitle="Invalid Status" operator="between" showDropDown="false" showErrorMessage="false" showInputMessage="false" sqref="F3:F45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G3:G45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F913BF-1A33-4070-B8B6-1BB6EAFD4E9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F9D58"/>
              <x14:axisColor rgb="FF000000"/>
            </x14:dataBar>
          </x14:cfRule>
          <xm:sqref>H3:H45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8"/>
  </cols>
  <sheetData>
    <row r="1" customFormat="false" ht="17.35" hidden="false" customHeight="false" outlineLevel="0" collapsed="false">
      <c r="A1" s="9" t="s">
        <v>163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2" t="s">
        <v>164</v>
      </c>
      <c r="B3" s="2" t="s">
        <v>10</v>
      </c>
      <c r="C3" s="2" t="s">
        <v>70</v>
      </c>
      <c r="D3" s="2" t="s">
        <v>104</v>
      </c>
      <c r="E3" s="2" t="s">
        <v>131</v>
      </c>
      <c r="F3" s="2" t="s">
        <v>165</v>
      </c>
    </row>
    <row r="4" customFormat="false" ht="15" hidden="false" customHeight="false" outlineLevel="0" collapsed="false">
      <c r="A4" s="6" t="s">
        <v>166</v>
      </c>
      <c r="B4" s="6" t="n">
        <f aca="false">COUNTIF('Master Task Tracker'!A3:A45,"Phase 1")</f>
        <v>16</v>
      </c>
      <c r="C4" s="6" t="n">
        <f aca="false">COUNTIF('Master Task Tracker'!A3:A45,"Phase 2")</f>
        <v>10</v>
      </c>
      <c r="D4" s="7" t="n">
        <f aca="false">COUNTIF('Master Task Tracker'!A3:A45,"Phase 3")</f>
        <v>8</v>
      </c>
      <c r="E4" s="7" t="n">
        <f aca="false">COUNTIF('Master Task Tracker'!A3:A45,"Phase 4")</f>
        <v>9</v>
      </c>
      <c r="F4" s="7" t="n">
        <f aca="false">SUM(B4:E4)</f>
        <v>43</v>
      </c>
    </row>
    <row r="5" customFormat="false" ht="15" hidden="false" customHeight="false" outlineLevel="0" collapsed="false">
      <c r="A5" s="3" t="s">
        <v>167</v>
      </c>
      <c r="B5" s="3" t="n">
        <f aca="false">COUNTIFS('Master Task Tracker'!A3:A45,"Phase 1",'Master Task Tracker'!F3:F45,"Complete")</f>
        <v>0</v>
      </c>
      <c r="C5" s="3" t="n">
        <f aca="false">COUNTIFS('Master Task Tracker'!A3:A45,"Phase 2",'Master Task Tracker'!F3:F45,"Complete")</f>
        <v>0</v>
      </c>
      <c r="D5" s="4" t="n">
        <f aca="false">COUNTIFS('Master Task Tracker'!A3:A45,"Phase 3",'Master Task Tracker'!F3:F45,"Complete")</f>
        <v>0</v>
      </c>
      <c r="E5" s="4" t="n">
        <f aca="false">COUNTIFS('Master Task Tracker'!A3:A45,"Phase 4",'Master Task Tracker'!F3:F45,"Complete")</f>
        <v>0</v>
      </c>
      <c r="F5" s="4" t="n">
        <f aca="false">SUM(B5:E5)</f>
        <v>0</v>
      </c>
    </row>
    <row r="6" customFormat="false" ht="15" hidden="false" customHeight="false" outlineLevel="0" collapsed="false">
      <c r="A6" s="6" t="s">
        <v>168</v>
      </c>
      <c r="B6" s="6" t="n">
        <f aca="false">COUNTIFS('Master Task Tracker'!A3:A45,"Phase 1",'Master Task Tracker'!F3:F45,"In Progress")</f>
        <v>0</v>
      </c>
      <c r="C6" s="6" t="n">
        <f aca="false">COUNTIFS('Master Task Tracker'!A3:A45,"Phase 2",'Master Task Tracker'!F3:F45,"In Progress")</f>
        <v>0</v>
      </c>
      <c r="D6" s="7" t="n">
        <f aca="false">COUNTIFS('Master Task Tracker'!A3:A45,"Phase 3",'Master Task Tracker'!F3:F45,"In Progress")</f>
        <v>0</v>
      </c>
      <c r="E6" s="7" t="n">
        <f aca="false">COUNTIFS('Master Task Tracker'!A3:A45,"Phase 4",'Master Task Tracker'!F3:F45,"In Progress")</f>
        <v>0</v>
      </c>
      <c r="F6" s="7" t="n">
        <f aca="false">SUM(B6:E6)</f>
        <v>0</v>
      </c>
    </row>
    <row r="7" customFormat="false" ht="15" hidden="false" customHeight="false" outlineLevel="0" collapsed="false">
      <c r="A7" s="3" t="s">
        <v>15</v>
      </c>
      <c r="B7" s="3" t="n">
        <f aca="false">COUNTIFS('Master Task Tracker'!A3:A45,"Phase 1",'Master Task Tracker'!F3:F45,"Not Started")</f>
        <v>16</v>
      </c>
      <c r="C7" s="3" t="n">
        <f aca="false">COUNTIFS('Master Task Tracker'!A3:A45,"Phase 2",'Master Task Tracker'!F3:F45,"Not Started")</f>
        <v>10</v>
      </c>
      <c r="D7" s="4" t="n">
        <f aca="false">COUNTIFS('Master Task Tracker'!A3:A45,"Phase 3",'Master Task Tracker'!F3:F45,"Not Started")</f>
        <v>8</v>
      </c>
      <c r="E7" s="4" t="n">
        <f aca="false">COUNTIFS('Master Task Tracker'!A3:A45,"Phase 4",'Master Task Tracker'!F3:F45,"Not Started")</f>
        <v>9</v>
      </c>
      <c r="F7" s="4" t="n">
        <f aca="false">SUM(B7:E7)</f>
        <v>43</v>
      </c>
    </row>
    <row r="8" customFormat="false" ht="15" hidden="false" customHeight="false" outlineLevel="0" collapsed="false">
      <c r="A8" s="6" t="s">
        <v>169</v>
      </c>
      <c r="B8" s="6" t="n">
        <f aca="false">COUNTIFS('Master Task Tracker'!A3:A45,"Phase 1",'Master Task Tracker'!F3:F45,"Blocked")</f>
        <v>0</v>
      </c>
      <c r="C8" s="6" t="n">
        <f aca="false">COUNTIFS('Master Task Tracker'!A3:A45,"Phase 2",'Master Task Tracker'!F3:F45,"Blocked")</f>
        <v>0</v>
      </c>
      <c r="D8" s="7" t="n">
        <f aca="false">COUNTIFS('Master Task Tracker'!A3:A45,"Phase 3",'Master Task Tracker'!F3:F45,"Blocked")</f>
        <v>0</v>
      </c>
      <c r="E8" s="7" t="n">
        <f aca="false">COUNTIFS('Master Task Tracker'!A3:A45,"Phase 4",'Master Task Tracker'!F3:F45,"Blocked")</f>
        <v>0</v>
      </c>
      <c r="F8" s="7" t="n">
        <f aca="false">SUM(B8:E8)</f>
        <v>0</v>
      </c>
    </row>
    <row r="9" customFormat="false" ht="15" hidden="false" customHeight="false" outlineLevel="0" collapsed="false">
      <c r="A9" s="3" t="s">
        <v>8</v>
      </c>
      <c r="B9" s="10" t="n">
        <f aca="false">IF(B4&gt;0,B5/B4,0)</f>
        <v>0</v>
      </c>
      <c r="C9" s="10" t="n">
        <f aca="false">IF(C4&gt;0,C5/C4,0)</f>
        <v>0</v>
      </c>
      <c r="D9" s="11" t="n">
        <f aca="false">IF(D4&gt;0,D5/D4,0)</f>
        <v>0</v>
      </c>
      <c r="E9" s="11" t="n">
        <f aca="false">IF(E4&gt;0,E5/E4,0)</f>
        <v>0</v>
      </c>
      <c r="F9" s="11" t="n">
        <f aca="false">IF(F4&gt;0,F5/F4,0)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9D58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9" t="s">
        <v>170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2" t="s">
        <v>171</v>
      </c>
      <c r="B3" s="2" t="s">
        <v>172</v>
      </c>
      <c r="C3" s="2" t="s">
        <v>173</v>
      </c>
      <c r="D3" s="2" t="s">
        <v>174</v>
      </c>
      <c r="E3" s="2" t="s">
        <v>175</v>
      </c>
      <c r="F3" s="2" t="s">
        <v>6</v>
      </c>
    </row>
    <row r="4" customFormat="false" ht="15" hidden="false" customHeight="false" outlineLevel="0" collapsed="false">
      <c r="A4" s="3" t="s">
        <v>176</v>
      </c>
      <c r="B4" s="3" t="s">
        <v>177</v>
      </c>
      <c r="C4" s="12" t="n">
        <v>0</v>
      </c>
      <c r="D4" s="12" t="n">
        <v>0</v>
      </c>
      <c r="E4" s="13" t="n">
        <f aca="false">C4-D4</f>
        <v>0</v>
      </c>
      <c r="F4" s="14" t="str">
        <f aca="false">IF(D4=0,"Pending",IF(D4&lt;=C4,"On Budget","Over Budget"))</f>
        <v>Pending</v>
      </c>
    </row>
    <row r="5" customFormat="false" ht="15" hidden="false" customHeight="false" outlineLevel="0" collapsed="false">
      <c r="A5" s="3" t="s">
        <v>176</v>
      </c>
      <c r="B5" s="3" t="s">
        <v>178</v>
      </c>
      <c r="C5" s="12" t="n">
        <v>79</v>
      </c>
      <c r="D5" s="12" t="n">
        <v>0</v>
      </c>
      <c r="E5" s="13" t="n">
        <f aca="false">C5-D5</f>
        <v>79</v>
      </c>
      <c r="F5" s="14" t="str">
        <f aca="false">IF(D5=0,"Pending",IF(D5&lt;=C5,"On Budget","Over Budget"))</f>
        <v>Pending</v>
      </c>
    </row>
    <row r="6" customFormat="false" ht="15" hidden="false" customHeight="false" outlineLevel="0" collapsed="false">
      <c r="A6" s="3" t="s">
        <v>176</v>
      </c>
      <c r="B6" s="3" t="s">
        <v>179</v>
      </c>
      <c r="C6" s="12" t="n">
        <v>99</v>
      </c>
      <c r="D6" s="12" t="n">
        <v>0</v>
      </c>
      <c r="E6" s="13" t="n">
        <f aca="false">C6-D6</f>
        <v>99</v>
      </c>
      <c r="F6" s="14" t="str">
        <f aca="false">IF(D6=0,"Pending",IF(D6&lt;=C6,"On Budget","Over Budget"))</f>
        <v>Pending</v>
      </c>
    </row>
    <row r="7" customFormat="false" ht="15" hidden="false" customHeight="false" outlineLevel="0" collapsed="false">
      <c r="A7" s="3" t="s">
        <v>180</v>
      </c>
      <c r="B7" s="3" t="s">
        <v>181</v>
      </c>
      <c r="C7" s="12" t="n">
        <v>0</v>
      </c>
      <c r="D7" s="12" t="n">
        <v>0</v>
      </c>
      <c r="E7" s="13" t="n">
        <f aca="false">C7-D7</f>
        <v>0</v>
      </c>
      <c r="F7" s="14" t="str">
        <f aca="false">IF(D7=0,"Pending",IF(D7&lt;=C7,"On Budget","Over Budget"))</f>
        <v>Pending</v>
      </c>
    </row>
    <row r="8" customFormat="false" ht="15" hidden="false" customHeight="false" outlineLevel="0" collapsed="false">
      <c r="A8" s="3" t="s">
        <v>180</v>
      </c>
      <c r="B8" s="3" t="s">
        <v>182</v>
      </c>
      <c r="C8" s="12" t="n">
        <v>96</v>
      </c>
      <c r="D8" s="12" t="n">
        <v>0</v>
      </c>
      <c r="E8" s="13" t="n">
        <f aca="false">C8-D8</f>
        <v>96</v>
      </c>
      <c r="F8" s="14" t="str">
        <f aca="false">IF(D8=0,"Pending",IF(D8&lt;=C8,"On Budget","Over Budget"))</f>
        <v>Pending</v>
      </c>
    </row>
    <row r="9" customFormat="false" ht="15" hidden="false" customHeight="false" outlineLevel="0" collapsed="false">
      <c r="A9" s="3" t="s">
        <v>180</v>
      </c>
      <c r="B9" s="3" t="s">
        <v>183</v>
      </c>
      <c r="C9" s="12" t="n">
        <v>120</v>
      </c>
      <c r="D9" s="12" t="n">
        <v>0</v>
      </c>
      <c r="E9" s="13" t="n">
        <f aca="false">C9-D9</f>
        <v>120</v>
      </c>
      <c r="F9" s="14" t="str">
        <f aca="false">IF(D9=0,"Pending",IF(D9&lt;=C9,"On Budget","Over Budget"))</f>
        <v>Pending</v>
      </c>
    </row>
    <row r="10" customFormat="false" ht="15" hidden="false" customHeight="false" outlineLevel="0" collapsed="false">
      <c r="A10" s="3" t="s">
        <v>180</v>
      </c>
      <c r="B10" s="3" t="s">
        <v>184</v>
      </c>
      <c r="C10" s="12" t="n">
        <v>60</v>
      </c>
      <c r="D10" s="12" t="n">
        <v>0</v>
      </c>
      <c r="E10" s="13" t="n">
        <f aca="false">C10-D10</f>
        <v>60</v>
      </c>
      <c r="F10" s="14" t="str">
        <f aca="false">IF(D10=0,"Pending",IF(D10&lt;=C10,"On Budget","Over Budget"))</f>
        <v>Pending</v>
      </c>
    </row>
    <row r="11" customFormat="false" ht="15" hidden="false" customHeight="false" outlineLevel="0" collapsed="false">
      <c r="A11" s="3" t="s">
        <v>185</v>
      </c>
      <c r="B11" s="3" t="s">
        <v>186</v>
      </c>
      <c r="C11" s="12" t="n">
        <v>384</v>
      </c>
      <c r="D11" s="12" t="n">
        <v>0</v>
      </c>
      <c r="E11" s="13" t="n">
        <f aca="false">C11-D11</f>
        <v>384</v>
      </c>
      <c r="F11" s="14" t="str">
        <f aca="false">IF(D11=0,"Pending",IF(D11&lt;=C11,"On Budget","Over Budget"))</f>
        <v>Pending</v>
      </c>
    </row>
    <row r="12" customFormat="false" ht="15" hidden="false" customHeight="false" outlineLevel="0" collapsed="false">
      <c r="A12" s="3" t="s">
        <v>187</v>
      </c>
      <c r="B12" s="3" t="s">
        <v>188</v>
      </c>
      <c r="C12" s="12" t="n">
        <v>300</v>
      </c>
      <c r="D12" s="12" t="n">
        <v>0</v>
      </c>
      <c r="E12" s="13" t="n">
        <f aca="false">C12-D12</f>
        <v>300</v>
      </c>
      <c r="F12" s="14" t="str">
        <f aca="false">IF(D12=0,"Pending",IF(D12&lt;=C12,"On Budget","Over Budget"))</f>
        <v>Pending</v>
      </c>
    </row>
    <row r="13" customFormat="false" ht="23.85" hidden="false" customHeight="false" outlineLevel="0" collapsed="false">
      <c r="A13" s="3" t="s">
        <v>189</v>
      </c>
      <c r="B13" s="3" t="s">
        <v>190</v>
      </c>
      <c r="C13" s="12" t="n">
        <v>150</v>
      </c>
      <c r="D13" s="12" t="n">
        <v>0</v>
      </c>
      <c r="E13" s="13" t="n">
        <f aca="false">C13-D13</f>
        <v>150</v>
      </c>
      <c r="F13" s="14" t="str">
        <f aca="false">IF(D13=0,"Pending",IF(D13&lt;=C13,"On Budget","Over Budget"))</f>
        <v>Pending</v>
      </c>
    </row>
    <row r="14" customFormat="false" ht="23.85" hidden="false" customHeight="false" outlineLevel="0" collapsed="false">
      <c r="A14" s="3" t="s">
        <v>189</v>
      </c>
      <c r="B14" s="3" t="s">
        <v>191</v>
      </c>
      <c r="C14" s="12" t="n">
        <v>6000</v>
      </c>
      <c r="D14" s="12" t="n">
        <v>0</v>
      </c>
      <c r="E14" s="13" t="n">
        <f aca="false">C14-D14</f>
        <v>6000</v>
      </c>
      <c r="F14" s="14" t="str">
        <f aca="false">IF(D14=0,"Pending",IF(D14&lt;=C14,"On Budget","Over Budget"))</f>
        <v>Pending</v>
      </c>
    </row>
    <row r="15" customFormat="false" ht="15" hidden="false" customHeight="false" outlineLevel="0" collapsed="false">
      <c r="A15" s="3" t="s">
        <v>192</v>
      </c>
      <c r="B15" s="3" t="s">
        <v>193</v>
      </c>
      <c r="C15" s="12" t="n">
        <v>200</v>
      </c>
      <c r="D15" s="12" t="n">
        <v>0</v>
      </c>
      <c r="E15" s="13" t="n">
        <f aca="false">C15-D15</f>
        <v>200</v>
      </c>
      <c r="F15" s="14" t="str">
        <f aca="false">IF(D15=0,"Pending",IF(D15&lt;=C15,"On Budget","Over Budget"))</f>
        <v>Pending</v>
      </c>
    </row>
    <row r="16" customFormat="false" ht="15" hidden="false" customHeight="false" outlineLevel="0" collapsed="false">
      <c r="A16" s="3" t="s">
        <v>192</v>
      </c>
      <c r="B16" s="3" t="s">
        <v>194</v>
      </c>
      <c r="C16" s="12" t="n">
        <v>144</v>
      </c>
      <c r="D16" s="12" t="n">
        <v>0</v>
      </c>
      <c r="E16" s="13" t="n">
        <f aca="false">C16-D16</f>
        <v>144</v>
      </c>
      <c r="F16" s="14" t="str">
        <f aca="false">IF(D16=0,"Pending",IF(D16&lt;=C16,"On Budget","Over Budget"))</f>
        <v>Pending</v>
      </c>
    </row>
    <row r="17" customFormat="false" ht="15" hidden="false" customHeight="false" outlineLevel="0" collapsed="false">
      <c r="A17" s="3" t="s">
        <v>195</v>
      </c>
      <c r="B17" s="3" t="s">
        <v>196</v>
      </c>
      <c r="C17" s="12" t="n">
        <v>100</v>
      </c>
      <c r="D17" s="12" t="n">
        <v>0</v>
      </c>
      <c r="E17" s="13" t="n">
        <f aca="false">C17-D17</f>
        <v>100</v>
      </c>
      <c r="F17" s="14" t="str">
        <f aca="false">IF(D17=0,"Pending",IF(D17&lt;=C17,"On Budget","Over Budget"))</f>
        <v>Pending</v>
      </c>
    </row>
    <row r="18" customFormat="false" ht="15" hidden="false" customHeight="false" outlineLevel="0" collapsed="false">
      <c r="A18" s="3" t="s">
        <v>197</v>
      </c>
      <c r="B18" s="3" t="s">
        <v>198</v>
      </c>
      <c r="C18" s="12" t="n">
        <v>0</v>
      </c>
      <c r="D18" s="12" t="n">
        <v>0</v>
      </c>
      <c r="E18" s="13" t="n">
        <f aca="false">C18-D18</f>
        <v>0</v>
      </c>
      <c r="F18" s="14" t="str">
        <f aca="false">IF(D18=0,"Pending",IF(D18&lt;=C18,"On Budget","Over Budget"))</f>
        <v>Pending</v>
      </c>
    </row>
    <row r="19" customFormat="false" ht="15" hidden="false" customHeight="false" outlineLevel="0" collapsed="false">
      <c r="A19" s="15"/>
      <c r="B19" s="15" t="s">
        <v>165</v>
      </c>
      <c r="C19" s="16" t="n">
        <f aca="false">SUM(C4:C18)</f>
        <v>7732</v>
      </c>
      <c r="D19" s="16" t="n">
        <f aca="false">SUM(D4:D18)</f>
        <v>0</v>
      </c>
      <c r="E19" s="17" t="n">
        <f aca="false">C19-D19</f>
        <v>7732</v>
      </c>
      <c r="F19" s="1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7400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5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9" t="s">
        <v>199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A3" s="2" t="s">
        <v>200</v>
      </c>
      <c r="B3" s="2" t="s">
        <v>201</v>
      </c>
      <c r="C3" s="2" t="s">
        <v>185</v>
      </c>
      <c r="D3" s="2" t="s">
        <v>202</v>
      </c>
      <c r="E3" s="2" t="s">
        <v>203</v>
      </c>
      <c r="F3" s="2" t="s">
        <v>6</v>
      </c>
      <c r="G3" s="2" t="s">
        <v>204</v>
      </c>
      <c r="H3" s="2" t="s">
        <v>205</v>
      </c>
    </row>
    <row r="4" customFormat="false" ht="23.85" hidden="false" customHeight="false" outlineLevel="0" collapsed="false">
      <c r="A4" s="6" t="s">
        <v>206</v>
      </c>
      <c r="B4" s="6" t="s">
        <v>207</v>
      </c>
      <c r="C4" s="6" t="s">
        <v>208</v>
      </c>
      <c r="D4" s="7" t="s">
        <v>209</v>
      </c>
      <c r="E4" s="7"/>
      <c r="F4" s="7" t="s">
        <v>210</v>
      </c>
      <c r="G4" s="7"/>
      <c r="H4" s="7"/>
    </row>
    <row r="5" customFormat="false" ht="23.85" hidden="false" customHeight="false" outlineLevel="0" collapsed="false">
      <c r="A5" s="3" t="s">
        <v>206</v>
      </c>
      <c r="B5" s="3" t="s">
        <v>207</v>
      </c>
      <c r="C5" s="3" t="s">
        <v>211</v>
      </c>
      <c r="D5" s="4" t="s">
        <v>212</v>
      </c>
      <c r="E5" s="4"/>
      <c r="F5" s="4" t="s">
        <v>210</v>
      </c>
      <c r="G5" s="4"/>
      <c r="H5" s="4"/>
    </row>
    <row r="6" customFormat="false" ht="23.85" hidden="false" customHeight="false" outlineLevel="0" collapsed="false">
      <c r="A6" s="6" t="s">
        <v>206</v>
      </c>
      <c r="B6" s="6" t="s">
        <v>213</v>
      </c>
      <c r="C6" s="6" t="s">
        <v>208</v>
      </c>
      <c r="D6" s="7" t="s">
        <v>214</v>
      </c>
      <c r="E6" s="7"/>
      <c r="F6" s="7" t="s">
        <v>210</v>
      </c>
      <c r="G6" s="7"/>
      <c r="H6" s="7"/>
    </row>
    <row r="7" customFormat="false" ht="23.85" hidden="false" customHeight="false" outlineLevel="0" collapsed="false">
      <c r="A7" s="3" t="s">
        <v>206</v>
      </c>
      <c r="B7" s="3" t="s">
        <v>215</v>
      </c>
      <c r="C7" s="3" t="s">
        <v>211</v>
      </c>
      <c r="D7" s="4" t="s">
        <v>216</v>
      </c>
      <c r="E7" s="4"/>
      <c r="F7" s="4" t="s">
        <v>210</v>
      </c>
      <c r="G7" s="4"/>
      <c r="H7" s="4"/>
    </row>
    <row r="8" customFormat="false" ht="23.85" hidden="false" customHeight="false" outlineLevel="0" collapsed="false">
      <c r="A8" s="6" t="s">
        <v>217</v>
      </c>
      <c r="B8" s="6" t="s">
        <v>207</v>
      </c>
      <c r="C8" s="6" t="s">
        <v>218</v>
      </c>
      <c r="D8" s="7" t="s">
        <v>219</v>
      </c>
      <c r="E8" s="7"/>
      <c r="F8" s="7" t="s">
        <v>210</v>
      </c>
      <c r="G8" s="7"/>
      <c r="H8" s="7"/>
    </row>
    <row r="9" customFormat="false" ht="15" hidden="false" customHeight="false" outlineLevel="0" collapsed="false">
      <c r="A9" s="3" t="s">
        <v>217</v>
      </c>
      <c r="B9" s="3" t="s">
        <v>213</v>
      </c>
      <c r="C9" s="3" t="s">
        <v>208</v>
      </c>
      <c r="D9" s="4" t="s">
        <v>220</v>
      </c>
      <c r="E9" s="4"/>
      <c r="F9" s="4" t="s">
        <v>210</v>
      </c>
      <c r="G9" s="4"/>
      <c r="H9" s="4"/>
    </row>
    <row r="10" customFormat="false" ht="23.85" hidden="false" customHeight="false" outlineLevel="0" collapsed="false">
      <c r="A10" s="6" t="s">
        <v>217</v>
      </c>
      <c r="B10" s="6" t="s">
        <v>213</v>
      </c>
      <c r="C10" s="6" t="s">
        <v>221</v>
      </c>
      <c r="D10" s="7" t="s">
        <v>222</v>
      </c>
      <c r="E10" s="7"/>
      <c r="F10" s="7" t="s">
        <v>210</v>
      </c>
      <c r="G10" s="7"/>
      <c r="H10" s="7"/>
    </row>
    <row r="11" customFormat="false" ht="15" hidden="false" customHeight="false" outlineLevel="0" collapsed="false">
      <c r="A11" s="3" t="s">
        <v>223</v>
      </c>
      <c r="B11" s="3" t="s">
        <v>207</v>
      </c>
      <c r="C11" s="3" t="s">
        <v>208</v>
      </c>
      <c r="D11" s="4" t="s">
        <v>224</v>
      </c>
      <c r="E11" s="4"/>
      <c r="F11" s="4" t="s">
        <v>210</v>
      </c>
      <c r="G11" s="4"/>
      <c r="H11" s="4"/>
    </row>
    <row r="12" customFormat="false" ht="23.85" hidden="false" customHeight="false" outlineLevel="0" collapsed="false">
      <c r="A12" s="6" t="s">
        <v>223</v>
      </c>
      <c r="B12" s="6" t="s">
        <v>207</v>
      </c>
      <c r="C12" s="6" t="s">
        <v>225</v>
      </c>
      <c r="D12" s="7" t="s">
        <v>226</v>
      </c>
      <c r="E12" s="7"/>
      <c r="F12" s="7" t="s">
        <v>210</v>
      </c>
      <c r="G12" s="7"/>
      <c r="H12" s="7"/>
    </row>
    <row r="13" customFormat="false" ht="23.85" hidden="false" customHeight="false" outlineLevel="0" collapsed="false">
      <c r="A13" s="3" t="s">
        <v>223</v>
      </c>
      <c r="B13" s="3" t="s">
        <v>227</v>
      </c>
      <c r="C13" s="3" t="s">
        <v>208</v>
      </c>
      <c r="D13" s="4" t="s">
        <v>228</v>
      </c>
      <c r="E13" s="4"/>
      <c r="F13" s="4" t="s">
        <v>210</v>
      </c>
      <c r="G13" s="4"/>
      <c r="H13" s="4"/>
    </row>
    <row r="14" customFormat="false" ht="23.85" hidden="false" customHeight="false" outlineLevel="0" collapsed="false">
      <c r="A14" s="6" t="s">
        <v>223</v>
      </c>
      <c r="B14" s="6" t="s">
        <v>229</v>
      </c>
      <c r="C14" s="6" t="s">
        <v>218</v>
      </c>
      <c r="D14" s="7" t="s">
        <v>230</v>
      </c>
      <c r="E14" s="7"/>
      <c r="F14" s="7" t="s">
        <v>210</v>
      </c>
      <c r="G14" s="7"/>
      <c r="H14" s="7"/>
    </row>
    <row r="15" customFormat="false" ht="15" hidden="false" customHeight="false" outlineLevel="0" collapsed="false">
      <c r="A15" s="3" t="s">
        <v>231</v>
      </c>
      <c r="B15" s="3" t="s">
        <v>213</v>
      </c>
      <c r="C15" s="3" t="s">
        <v>208</v>
      </c>
      <c r="D15" s="4" t="s">
        <v>232</v>
      </c>
      <c r="E15" s="4"/>
      <c r="F15" s="4" t="s">
        <v>210</v>
      </c>
      <c r="G15" s="4"/>
      <c r="H15" s="4"/>
    </row>
    <row r="16" customFormat="false" ht="15" hidden="false" customHeight="false" outlineLevel="0" collapsed="false">
      <c r="A16" s="6" t="s">
        <v>231</v>
      </c>
      <c r="B16" s="6" t="s">
        <v>213</v>
      </c>
      <c r="C16" s="6" t="s">
        <v>233</v>
      </c>
      <c r="D16" s="7" t="s">
        <v>234</v>
      </c>
      <c r="E16" s="7"/>
      <c r="F16" s="7" t="s">
        <v>210</v>
      </c>
      <c r="G16" s="7"/>
      <c r="H16" s="7"/>
    </row>
    <row r="17" customFormat="false" ht="23.85" hidden="false" customHeight="false" outlineLevel="0" collapsed="false">
      <c r="A17" s="3" t="s">
        <v>231</v>
      </c>
      <c r="B17" s="3" t="s">
        <v>215</v>
      </c>
      <c r="C17" s="3" t="s">
        <v>211</v>
      </c>
      <c r="D17" s="4" t="s">
        <v>235</v>
      </c>
      <c r="E17" s="4"/>
      <c r="F17" s="4" t="s">
        <v>210</v>
      </c>
      <c r="G17" s="4"/>
      <c r="H17" s="4"/>
    </row>
    <row r="18" customFormat="false" ht="15" hidden="false" customHeight="false" outlineLevel="0" collapsed="false">
      <c r="A18" s="6" t="s">
        <v>236</v>
      </c>
      <c r="B18" s="6" t="s">
        <v>207</v>
      </c>
      <c r="C18" s="6" t="s">
        <v>208</v>
      </c>
      <c r="D18" s="7" t="s">
        <v>224</v>
      </c>
      <c r="E18" s="7"/>
      <c r="F18" s="7" t="s">
        <v>210</v>
      </c>
      <c r="G18" s="7"/>
      <c r="H18" s="7"/>
    </row>
    <row r="19" customFormat="false" ht="23.85" hidden="false" customHeight="false" outlineLevel="0" collapsed="false">
      <c r="A19" s="3" t="s">
        <v>236</v>
      </c>
      <c r="B19" s="3" t="s">
        <v>207</v>
      </c>
      <c r="C19" s="3" t="s">
        <v>237</v>
      </c>
      <c r="D19" s="4" t="s">
        <v>238</v>
      </c>
      <c r="E19" s="4"/>
      <c r="F19" s="4" t="s">
        <v>210</v>
      </c>
      <c r="G19" s="4"/>
      <c r="H19" s="4"/>
    </row>
    <row r="20" customFormat="false" ht="15" hidden="false" customHeight="false" outlineLevel="0" collapsed="false">
      <c r="A20" s="6" t="s">
        <v>236</v>
      </c>
      <c r="B20" s="6" t="s">
        <v>213</v>
      </c>
      <c r="C20" s="6" t="s">
        <v>208</v>
      </c>
      <c r="D20" s="7" t="s">
        <v>239</v>
      </c>
      <c r="E20" s="7"/>
      <c r="F20" s="7" t="s">
        <v>210</v>
      </c>
      <c r="G20" s="7"/>
      <c r="H20" s="7"/>
    </row>
    <row r="21" customFormat="false" ht="23.85" hidden="false" customHeight="false" outlineLevel="0" collapsed="false">
      <c r="A21" s="3" t="s">
        <v>236</v>
      </c>
      <c r="B21" s="3" t="s">
        <v>229</v>
      </c>
      <c r="C21" s="3" t="s">
        <v>240</v>
      </c>
      <c r="D21" s="4" t="s">
        <v>241</v>
      </c>
      <c r="E21" s="4"/>
      <c r="F21" s="4" t="s">
        <v>210</v>
      </c>
      <c r="G21" s="4"/>
      <c r="H21" s="4"/>
    </row>
    <row r="22" customFormat="false" ht="23.85" hidden="false" customHeight="false" outlineLevel="0" collapsed="false">
      <c r="A22" s="6" t="s">
        <v>242</v>
      </c>
      <c r="B22" s="6" t="s">
        <v>213</v>
      </c>
      <c r="C22" s="6" t="s">
        <v>208</v>
      </c>
      <c r="D22" s="7" t="s">
        <v>243</v>
      </c>
      <c r="E22" s="7"/>
      <c r="F22" s="7" t="s">
        <v>210</v>
      </c>
      <c r="G22" s="7"/>
      <c r="H22" s="7"/>
    </row>
    <row r="23" customFormat="false" ht="23.85" hidden="false" customHeight="false" outlineLevel="0" collapsed="false">
      <c r="A23" s="3" t="s">
        <v>242</v>
      </c>
      <c r="B23" s="3" t="s">
        <v>207</v>
      </c>
      <c r="C23" s="3" t="s">
        <v>244</v>
      </c>
      <c r="D23" s="4" t="s">
        <v>245</v>
      </c>
      <c r="E23" s="4"/>
      <c r="F23" s="4" t="s">
        <v>210</v>
      </c>
      <c r="G23" s="4"/>
      <c r="H23" s="4"/>
    </row>
    <row r="24" customFormat="false" ht="23.85" hidden="false" customHeight="false" outlineLevel="0" collapsed="false">
      <c r="A24" s="6" t="s">
        <v>246</v>
      </c>
      <c r="B24" s="6" t="s">
        <v>229</v>
      </c>
      <c r="C24" s="6" t="s">
        <v>225</v>
      </c>
      <c r="D24" s="7" t="s">
        <v>247</v>
      </c>
      <c r="E24" s="7"/>
      <c r="F24" s="7" t="s">
        <v>210</v>
      </c>
      <c r="G24" s="7"/>
      <c r="H24" s="7"/>
    </row>
    <row r="25" customFormat="false" ht="23.85" hidden="false" customHeight="false" outlineLevel="0" collapsed="false">
      <c r="A25" s="3" t="s">
        <v>246</v>
      </c>
      <c r="B25" s="3" t="s">
        <v>215</v>
      </c>
      <c r="C25" s="3" t="s">
        <v>248</v>
      </c>
      <c r="D25" s="4" t="s">
        <v>249</v>
      </c>
      <c r="E25" s="4"/>
      <c r="F25" s="4" t="s">
        <v>210</v>
      </c>
      <c r="G25" s="4"/>
      <c r="H25" s="4"/>
    </row>
  </sheetData>
  <mergeCells count="1">
    <mergeCell ref="A1:H1"/>
  </mergeCells>
  <conditionalFormatting sqref="F4:F25">
    <cfRule type="cellIs" priority="2" operator="equal" aboveAverage="0" equalAverage="0" bottom="0" percent="0" rank="0" text="" dxfId="12">
      <formula>"Published"</formula>
    </cfRule>
    <cfRule type="cellIs" priority="3" operator="equal" aboveAverage="0" equalAverage="0" bottom="0" percent="0" rank="0" text="" dxfId="19">
      <formula>"Scheduled"</formula>
    </cfRule>
    <cfRule type="cellIs" priority="4" operator="equal" aboveAverage="0" equalAverage="0" bottom="0" percent="0" rank="0" text="" dxfId="13">
      <formula>"Editing"</formula>
    </cfRule>
  </conditionalFormatting>
  <dataValidations count="2">
    <dataValidation allowBlank="true" errorStyle="stop" operator="between" showDropDown="false" showErrorMessage="false" showInputMessage="false" sqref="F4:F25" type="list">
      <formula1>"Draft,Filmed,Editing,Scheduled,Published"</formula1>
      <formula2>0</formula2>
    </dataValidation>
    <dataValidation allowBlank="true" errorStyle="stop" operator="between" showDropDown="false" showErrorMessage="false" showInputMessage="false" sqref="B4:B25" type="list">
      <formula1>"LondonIn&amp;Out,LondonGoat,LondonBlackGoat,PeoplesofLondon,BlackGoat (X)"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2026-03-02T00:35:48Z</dcterms:created>
  <dc:creator>openpyxl</dc:creator>
  <dc:description/>
  <dc:language>en-US</dc:language>
  <cp:lastModifiedBy/>
  <dcterms:modified xsi:type="dcterms:W3CDTF">2026-03-02T00:35:48Z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